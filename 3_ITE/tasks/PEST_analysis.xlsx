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ынок и сегмент" sheetId="1" r:id="rId5"/>
    <sheet state="visible" name="PEST-анализ" sheetId="2" r:id="rId6"/>
    <sheet state="visible" name="Выводы" sheetId="3" r:id="rId7"/>
  </sheets>
  <definedNames/>
  <calcPr/>
</workbook>
</file>

<file path=xl/sharedStrings.xml><?xml version="1.0" encoding="utf-8"?>
<sst xmlns="http://schemas.openxmlformats.org/spreadsheetml/2006/main" count="39" uniqueCount="38">
  <si>
    <t>Часть 2: PEST-анализ</t>
  </si>
  <si>
    <t>Часть 3: Выводы</t>
  </si>
  <si>
    <t>Часть 1: рынок и сегмент</t>
  </si>
  <si>
    <t>Какие факторы делают сегмент привлекательнее?</t>
  </si>
  <si>
    <t>Вес (сумма весов фактора = 1)</t>
  </si>
  <si>
    <t>Влияние (шкала от -5 до 5)</t>
  </si>
  <si>
    <t xml:space="preserve">Вопрос </t>
  </si>
  <si>
    <t>Ответ</t>
  </si>
  <si>
    <t>Взвешенное влияние</t>
  </si>
  <si>
    <t>Технологический рынок</t>
  </si>
  <si>
    <t>Описание  фактора</t>
  </si>
  <si>
    <t>Рынок носимой робототехники и биомеханических систем усиления человека</t>
  </si>
  <si>
    <t>Какие факторы усложняют развитие сегмента?</t>
  </si>
  <si>
    <t>Описание предполагаемого влияния</t>
  </si>
  <si>
    <t>Границы рынка</t>
  </si>
  <si>
    <t>Разработка и производство пассивных (механических) и активных (приводных\электрических) носимых устройств для защиты суставов, снижения нагрузок и реабилитации, не включая массивные стационарные установки</t>
  </si>
  <si>
    <t>Эксперт 1</t>
  </si>
  <si>
    <t>Принцип сегментации</t>
  </si>
  <si>
    <t>Эксперт 2</t>
  </si>
  <si>
    <t>Эксперт 3</t>
  </si>
  <si>
    <t>По сфере применения (целевой индустрии)</t>
  </si>
  <si>
    <t>Эксперт 4</t>
  </si>
  <si>
    <t>Эксперт 5</t>
  </si>
  <si>
    <t>Какой важной информации ещё не хватает для принятия решений?</t>
  </si>
  <si>
    <t>Итого</t>
  </si>
  <si>
    <t>Сегмент 1</t>
  </si>
  <si>
    <t>промышленные экзоскелеты</t>
  </si>
  <si>
    <t>1. Политические</t>
  </si>
  <si>
    <t>Сегмент 2</t>
  </si>
  <si>
    <t>медицинские и реабилитационные экзоскелеты</t>
  </si>
  <si>
    <t>Сегмент 3</t>
  </si>
  <si>
    <t>военные и экстренные экзоскелеты</t>
  </si>
  <si>
    <t>Выбранный сегмент для анализа</t>
  </si>
  <si>
    <t>ПОЧЕМУ?</t>
  </si>
  <si>
    <t xml:space="preserve">Крупный бизнес массово ищет решение для автоподдержки физического труда  </t>
  </si>
  <si>
    <t>2. Экономические</t>
  </si>
  <si>
    <t>3. Социальные</t>
  </si>
  <si>
    <t>4. Технологические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</si>
</sst>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Montserrat"/>
    </font>
    <font>
      <b/>
      <sz val="13.0"/>
      <color rgb="FF111111"/>
      <name val="Montserrat"/>
    </font>
    <font/>
    <font>
      <b/>
      <sz val="14.0"/>
      <color theme="1"/>
      <name val="Arial"/>
    </font>
    <font>
      <b/>
      <sz val="9.0"/>
      <color theme="1"/>
      <name val="Montserrat"/>
    </font>
    <font>
      <sz val="17.0"/>
      <color rgb="FF111111"/>
      <name val="Montserrat"/>
    </font>
    <font>
      <color theme="1"/>
      <name val="Montserrat"/>
    </font>
    <font>
      <b/>
      <sz val="11.0"/>
      <color theme="1"/>
      <name val="Montserrat"/>
    </font>
    <font>
      <sz val="13.0"/>
      <color theme="1"/>
      <name val="Arial"/>
    </font>
    <font>
      <color theme="1"/>
      <name val="Arial"/>
    </font>
    <font>
      <b/>
      <color theme="1"/>
      <name val="Montserrat"/>
    </font>
    <font>
      <b/>
      <i/>
      <sz val="12.0"/>
      <color theme="1"/>
      <name val="Montserrat"/>
    </font>
    <font>
      <sz val="12.0"/>
      <color theme="1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B2F94E"/>
        <bgColor rgb="FFB2F94E"/>
      </patternFill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2FFB9"/>
        <bgColor rgb="FFE2FFB9"/>
      </patternFill>
    </fill>
    <fill>
      <patternFill patternType="solid">
        <fgColor rgb="FFEEF7E3"/>
        <bgColor rgb="FFEEF7E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3" fontId="3" numFmtId="0" xfId="0" applyBorder="1" applyFill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left" vertical="bottom"/>
    </xf>
    <xf borderId="4" fillId="2" fontId="5" numFmtId="0" xfId="0" applyAlignment="1" applyBorder="1" applyFill="1" applyFont="1">
      <alignment horizontal="center" shrinkToFit="0" wrapText="1"/>
    </xf>
    <xf borderId="2" fillId="3" fontId="3" numFmtId="0" xfId="0" applyBorder="1" applyFill="1" applyFont="1"/>
    <xf borderId="3" fillId="4" fontId="3" numFmtId="0" xfId="0" applyBorder="1" applyFill="1" applyFont="1"/>
    <xf borderId="1" fillId="2" fontId="1" numFmtId="0" xfId="0" applyAlignment="1" applyBorder="1" applyFill="1" applyFont="1">
      <alignment horizontal="center"/>
    </xf>
    <xf borderId="5" fillId="5" fontId="6" numFmtId="0" xfId="0" applyAlignment="1" applyBorder="1" applyFill="1" applyFont="1">
      <alignment horizontal="center" vertical="bottom"/>
    </xf>
    <xf borderId="1" fillId="4" fontId="4" numFmtId="0" xfId="0" applyBorder="1" applyFill="1" applyFont="1"/>
    <xf borderId="5" fillId="5" fontId="7" numFmtId="0" xfId="0" applyAlignment="1" applyBorder="1" applyFill="1" applyFont="1">
      <alignment vertical="bottom"/>
    </xf>
    <xf borderId="5" fillId="4" fontId="4" numFmtId="0" xfId="0" applyBorder="1" applyFill="1" applyFont="1"/>
    <xf borderId="5" fillId="4" fontId="6" numFmtId="0" xfId="0" applyAlignment="1" applyBorder="1" applyFill="1" applyFont="1">
      <alignment horizontal="center" vertical="bottom"/>
    </xf>
    <xf borderId="4" fillId="2" fontId="8" numFmtId="0" xfId="0" applyAlignment="1" applyBorder="1" applyFill="1" applyFont="1">
      <alignment horizontal="center" shrinkToFit="0" wrapText="1"/>
    </xf>
    <xf borderId="5" fillId="4" fontId="7" numFmtId="0" xfId="0" applyAlignment="1" applyBorder="1" applyFill="1" applyFont="1">
      <alignment vertical="bottom"/>
    </xf>
    <xf borderId="1" fillId="5" fontId="9" numFmtId="0" xfId="0" applyBorder="1" applyFill="1" applyFont="1"/>
    <xf borderId="3" fillId="6" fontId="3" numFmtId="0" xfId="0" applyBorder="1" applyFill="1" applyFont="1"/>
    <xf borderId="5" fillId="5" fontId="6" numFmtId="0" xfId="0" applyAlignment="1" applyBorder="1" applyFill="1" applyFont="1">
      <alignment horizontal="center" readingOrder="0" vertical="bottom"/>
    </xf>
    <xf borderId="5" fillId="5" fontId="10" numFmtId="0" xfId="0" applyAlignment="1" applyBorder="1" applyFill="1" applyFont="1">
      <alignment readingOrder="0"/>
    </xf>
    <xf borderId="5" fillId="2" fontId="1" numFmtId="0" xfId="0" applyAlignment="1" applyBorder="1" applyFill="1" applyFont="1">
      <alignment horizontal="center" shrinkToFit="0" wrapText="1"/>
    </xf>
    <xf borderId="1" fillId="4" fontId="9" numFmtId="0" xfId="0" applyBorder="1" applyFill="1" applyFont="1"/>
    <xf borderId="6" fillId="3" fontId="3" numFmtId="0" xfId="0" applyBorder="1" applyFill="1" applyFont="1"/>
    <xf borderId="5" fillId="4" fontId="10" numFmtId="0" xfId="0" applyAlignment="1" applyBorder="1" applyFill="1" applyFont="1">
      <alignment readingOrder="0"/>
    </xf>
    <xf borderId="5" fillId="2" fontId="7" numFmtId="0" xfId="0" applyAlignment="1" applyBorder="1" applyFill="1" applyFont="1">
      <alignment horizontal="center" shrinkToFit="0" wrapText="1"/>
    </xf>
    <xf borderId="5" fillId="4" fontId="10" numFmtId="0" xfId="0" applyBorder="1" applyFill="1" applyFont="1"/>
    <xf borderId="5" fillId="2" fontId="11" numFmtId="0" xfId="0" applyAlignment="1" applyBorder="1" applyFill="1" applyFont="1">
      <alignment horizontal="center" shrinkToFit="0" wrapText="1"/>
    </xf>
    <xf borderId="5" fillId="4" fontId="9" numFmtId="0" xfId="0" applyBorder="1" applyFill="1" applyFont="1"/>
    <xf borderId="5" fillId="5" fontId="10" numFmtId="0" xfId="0" applyBorder="1" applyFill="1" applyFont="1"/>
    <xf borderId="1" fillId="4" fontId="12" numFmtId="0" xfId="0" applyBorder="1" applyFill="1" applyFont="1"/>
    <xf borderId="5" fillId="5" fontId="9" numFmtId="0" xfId="0" applyBorder="1" applyFill="1" applyFont="1"/>
    <xf borderId="2" fillId="4" fontId="3" numFmtId="0" xfId="0" applyBorder="1" applyFill="1" applyFont="1"/>
    <xf borderId="5" fillId="6" fontId="10" numFmtId="0" xfId="0" applyAlignment="1" applyBorder="1" applyFill="1" applyFont="1">
      <alignment readingOrder="0"/>
    </xf>
    <xf borderId="5" fillId="4" fontId="12" numFmtId="0" xfId="0" applyAlignment="1" applyBorder="1" applyFill="1" applyFont="1">
      <alignment horizontal="center" shrinkToFit="0" wrapText="1"/>
    </xf>
    <xf borderId="5" fillId="4" fontId="13" numFmtId="0" xfId="0" applyAlignment="1" applyBorder="1" applyFill="1" applyFont="1">
      <alignment horizontal="center"/>
    </xf>
    <xf borderId="5" fillId="4" fontId="12" numFmtId="0" xfId="0" applyAlignment="1" applyBorder="1" applyFill="1" applyFont="1">
      <alignment horizontal="center"/>
    </xf>
    <xf borderId="5" fillId="5" fontId="10" numFmtId="0" xfId="0" applyAlignment="1" applyBorder="1" applyFill="1" applyFont="1">
      <alignment horizontal="right"/>
    </xf>
    <xf borderId="5" fillId="5" fontId="10" numFmtId="0" xfId="0" applyAlignment="1" applyBorder="1" applyFill="1" applyFont="1">
      <alignment horizontal="center" shrinkToFit="0" wrapText="1"/>
    </xf>
    <xf borderId="5" fillId="5" fontId="10" numFmtId="0" xfId="0" applyAlignment="1" applyBorder="1" applyFill="1" applyFont="1">
      <alignment horizontal="center"/>
    </xf>
    <xf borderId="5" fillId="5" fontId="13" numFmtId="0" xfId="0" applyAlignment="1" applyBorder="1" applyFill="1" applyFont="1">
      <alignment horizontal="center"/>
    </xf>
    <xf borderId="5" fillId="5" fontId="13" numFmtId="0" xfId="0" applyAlignment="1" applyBorder="1" applyFill="1" applyFont="1">
      <alignment horizontal="center" shrinkToFit="0" wrapText="1"/>
    </xf>
    <xf borderId="5" fillId="4" fontId="10" numFmtId="0" xfId="0" applyAlignment="1" applyBorder="1" applyFill="1" applyFont="1">
      <alignment horizontal="right"/>
    </xf>
    <xf borderId="5" fillId="4" fontId="10" numFmtId="0" xfId="0" applyAlignment="1" applyBorder="1" applyFill="1" applyFont="1">
      <alignment horizontal="center" shrinkToFit="0" wrapText="1"/>
    </xf>
    <xf borderId="5" fillId="4" fontId="10" numFmtId="0" xfId="0" applyAlignment="1" applyBorder="1" applyFill="1" applyFont="1">
      <alignment horizontal="center"/>
    </xf>
    <xf borderId="5" fillId="4" fontId="13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75.5"/>
  </cols>
  <sheetData>
    <row r="1">
      <c r="A1" s="6" t="s">
        <v>2</v>
      </c>
      <c r="B1" s="9"/>
      <c r="C1" s="4"/>
    </row>
    <row r="2">
      <c r="A2" s="13" t="s">
        <v>6</v>
      </c>
      <c r="B2" s="10"/>
      <c r="C2" s="15" t="s">
        <v>7</v>
      </c>
    </row>
    <row r="3">
      <c r="A3" s="19" t="s">
        <v>9</v>
      </c>
      <c r="B3" s="20"/>
      <c r="C3" s="22" t="s">
        <v>11</v>
      </c>
    </row>
    <row r="4">
      <c r="A4" s="24" t="s">
        <v>14</v>
      </c>
      <c r="B4" s="10"/>
      <c r="C4" s="26" t="s">
        <v>15</v>
      </c>
    </row>
    <row r="5">
      <c r="A5" s="19" t="s">
        <v>17</v>
      </c>
      <c r="B5" s="20"/>
      <c r="C5" s="22" t="s">
        <v>20</v>
      </c>
    </row>
    <row r="6">
      <c r="A6" s="28"/>
      <c r="B6" s="30" t="s">
        <v>25</v>
      </c>
      <c r="C6" s="26" t="s">
        <v>26</v>
      </c>
    </row>
    <row r="7">
      <c r="A7" s="31"/>
      <c r="B7" s="33" t="s">
        <v>28</v>
      </c>
      <c r="C7" s="22" t="s">
        <v>29</v>
      </c>
    </row>
    <row r="8">
      <c r="A8" s="28"/>
      <c r="B8" s="30" t="s">
        <v>30</v>
      </c>
      <c r="C8" s="26" t="s">
        <v>31</v>
      </c>
    </row>
    <row r="9">
      <c r="A9" s="19" t="s">
        <v>32</v>
      </c>
      <c r="B9" s="20"/>
      <c r="C9" s="35" t="s">
        <v>26</v>
      </c>
    </row>
    <row r="10">
      <c r="A10" s="24" t="s">
        <v>33</v>
      </c>
      <c r="B10" s="10"/>
      <c r="C10" s="26" t="s">
        <v>34</v>
      </c>
    </row>
  </sheetData>
  <mergeCells count="7">
    <mergeCell ref="A1:C1"/>
    <mergeCell ref="A2:B2"/>
    <mergeCell ref="A3:B3"/>
    <mergeCell ref="A4:B4"/>
    <mergeCell ref="A5:B5"/>
    <mergeCell ref="A9:B9"/>
    <mergeCell ref="A10:B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47.25"/>
    <col customWidth="1" min="3" max="3" width="37.0"/>
    <col customWidth="1" min="11" max="11" width="17.5"/>
  </cols>
  <sheetData>
    <row r="1">
      <c r="A1" s="1" t="s">
        <v>0</v>
      </c>
      <c r="B1" s="3"/>
      <c r="C1" s="5"/>
      <c r="D1" s="8" t="s">
        <v>4</v>
      </c>
      <c r="E1" s="11" t="s">
        <v>5</v>
      </c>
      <c r="F1" s="3"/>
      <c r="G1" s="3"/>
      <c r="H1" s="3"/>
      <c r="I1" s="3"/>
      <c r="J1" s="5"/>
      <c r="K1" s="17" t="s">
        <v>8</v>
      </c>
    </row>
    <row r="2">
      <c r="A2" s="11" t="s">
        <v>10</v>
      </c>
      <c r="B2" s="4"/>
      <c r="C2" s="23" t="s">
        <v>13</v>
      </c>
      <c r="D2" s="25"/>
      <c r="E2" s="27" t="s">
        <v>16</v>
      </c>
      <c r="F2" s="27" t="s">
        <v>18</v>
      </c>
      <c r="G2" s="27" t="s">
        <v>19</v>
      </c>
      <c r="H2" s="27" t="s">
        <v>21</v>
      </c>
      <c r="I2" s="27" t="s">
        <v>22</v>
      </c>
      <c r="J2" s="29" t="s">
        <v>24</v>
      </c>
      <c r="K2" s="25"/>
    </row>
    <row r="3" ht="40.5" customHeight="1">
      <c r="A3" s="32" t="s">
        <v>27</v>
      </c>
      <c r="B3" s="34"/>
      <c r="C3" s="10"/>
      <c r="D3" s="36">
        <f t="shared" ref="D3:I3" si="1">SUM(D4:D8)</f>
        <v>1</v>
      </c>
      <c r="E3" s="37">
        <f t="shared" si="1"/>
        <v>-1</v>
      </c>
      <c r="F3" s="37">
        <f t="shared" si="1"/>
        <v>6</v>
      </c>
      <c r="G3" s="37">
        <f t="shared" si="1"/>
        <v>2</v>
      </c>
      <c r="H3" s="37">
        <f t="shared" si="1"/>
        <v>7</v>
      </c>
      <c r="I3" s="37">
        <f t="shared" si="1"/>
        <v>8</v>
      </c>
      <c r="J3" s="38">
        <f t="shared" ref="J3:J26" si="2">SUM(E3:I3)</f>
        <v>22</v>
      </c>
      <c r="K3" s="36">
        <f>SUM(K4:K8)</f>
        <v>4.4</v>
      </c>
    </row>
    <row r="4">
      <c r="A4" s="39">
        <v>1.0</v>
      </c>
      <c r="B4" s="31"/>
      <c r="C4" s="31"/>
      <c r="D4" s="40">
        <v>0.2</v>
      </c>
      <c r="E4" s="41">
        <v>-5.0</v>
      </c>
      <c r="F4" s="41">
        <v>-3.0</v>
      </c>
      <c r="G4" s="41">
        <v>-2.0</v>
      </c>
      <c r="H4" s="41">
        <v>-4.0</v>
      </c>
      <c r="I4" s="41">
        <v>1.0</v>
      </c>
      <c r="J4" s="42">
        <f t="shared" si="2"/>
        <v>-13</v>
      </c>
      <c r="K4" s="43">
        <f t="shared" ref="K4:K8" si="3">J4*D4</f>
        <v>-2.6</v>
      </c>
    </row>
    <row r="5">
      <c r="A5" s="44">
        <v>2.0</v>
      </c>
      <c r="B5" s="28"/>
      <c r="C5" s="28"/>
      <c r="D5" s="45">
        <v>0.2</v>
      </c>
      <c r="E5" s="46">
        <v>3.0</v>
      </c>
      <c r="F5" s="46">
        <v>4.0</v>
      </c>
      <c r="G5" s="46">
        <v>2.0</v>
      </c>
      <c r="H5" s="46">
        <v>5.0</v>
      </c>
      <c r="I5" s="46">
        <v>2.0</v>
      </c>
      <c r="J5" s="37">
        <f t="shared" si="2"/>
        <v>16</v>
      </c>
      <c r="K5" s="47">
        <f t="shared" si="3"/>
        <v>3.2</v>
      </c>
    </row>
    <row r="6">
      <c r="A6" s="39">
        <v>3.0</v>
      </c>
      <c r="B6" s="31"/>
      <c r="C6" s="31"/>
      <c r="D6" s="40">
        <v>0.2</v>
      </c>
      <c r="E6" s="41">
        <v>-5.0</v>
      </c>
      <c r="F6" s="41">
        <v>-3.0</v>
      </c>
      <c r="G6" s="41">
        <v>-2.0</v>
      </c>
      <c r="H6" s="41">
        <v>-4.0</v>
      </c>
      <c r="I6" s="41">
        <v>1.0</v>
      </c>
      <c r="J6" s="42">
        <f t="shared" si="2"/>
        <v>-13</v>
      </c>
      <c r="K6" s="43">
        <f t="shared" si="3"/>
        <v>-2.6</v>
      </c>
    </row>
    <row r="7">
      <c r="A7" s="44">
        <v>4.0</v>
      </c>
      <c r="B7" s="28"/>
      <c r="C7" s="28"/>
      <c r="D7" s="45">
        <v>0.2</v>
      </c>
      <c r="E7" s="46">
        <v>3.0</v>
      </c>
      <c r="F7" s="46">
        <v>4.0</v>
      </c>
      <c r="G7" s="46">
        <v>2.0</v>
      </c>
      <c r="H7" s="46">
        <v>5.0</v>
      </c>
      <c r="I7" s="46">
        <v>2.0</v>
      </c>
      <c r="J7" s="37">
        <f t="shared" si="2"/>
        <v>16</v>
      </c>
      <c r="K7" s="47">
        <f t="shared" si="3"/>
        <v>3.2</v>
      </c>
    </row>
    <row r="8">
      <c r="A8" s="39">
        <v>5.0</v>
      </c>
      <c r="B8" s="31"/>
      <c r="C8" s="31"/>
      <c r="D8" s="40">
        <v>0.2</v>
      </c>
      <c r="E8" s="41">
        <v>3.0</v>
      </c>
      <c r="F8" s="41">
        <v>4.0</v>
      </c>
      <c r="G8" s="41">
        <v>2.0</v>
      </c>
      <c r="H8" s="41">
        <v>5.0</v>
      </c>
      <c r="I8" s="41">
        <v>2.0</v>
      </c>
      <c r="J8" s="42">
        <f t="shared" si="2"/>
        <v>16</v>
      </c>
      <c r="K8" s="43">
        <f t="shared" si="3"/>
        <v>3.2</v>
      </c>
    </row>
    <row r="9" ht="42.75" customHeight="1">
      <c r="A9" s="32" t="s">
        <v>35</v>
      </c>
      <c r="B9" s="34"/>
      <c r="C9" s="10"/>
      <c r="D9" s="36">
        <f t="shared" ref="D9:I9" si="4">SUM(D10:D14)</f>
        <v>1</v>
      </c>
      <c r="E9" s="37">
        <f t="shared" si="4"/>
        <v>0</v>
      </c>
      <c r="F9" s="37">
        <f t="shared" si="4"/>
        <v>0</v>
      </c>
      <c r="G9" s="37">
        <f t="shared" si="4"/>
        <v>0</v>
      </c>
      <c r="H9" s="37">
        <f t="shared" si="4"/>
        <v>0</v>
      </c>
      <c r="I9" s="37">
        <f t="shared" si="4"/>
        <v>0</v>
      </c>
      <c r="J9" s="38">
        <f t="shared" si="2"/>
        <v>0</v>
      </c>
      <c r="K9" s="36">
        <f>SUM(K10:K14)</f>
        <v>0</v>
      </c>
    </row>
    <row r="10">
      <c r="A10" s="39">
        <v>1.0</v>
      </c>
      <c r="B10" s="31"/>
      <c r="C10" s="31"/>
      <c r="D10" s="40">
        <v>0.2</v>
      </c>
      <c r="E10" s="31"/>
      <c r="F10" s="31"/>
      <c r="G10" s="31"/>
      <c r="H10" s="31"/>
      <c r="I10" s="31"/>
      <c r="J10" s="42">
        <f t="shared" si="2"/>
        <v>0</v>
      </c>
      <c r="K10" s="43">
        <f t="shared" ref="K10:K14" si="5">J10*D10</f>
        <v>0</v>
      </c>
    </row>
    <row r="11">
      <c r="A11" s="44">
        <v>2.0</v>
      </c>
      <c r="B11" s="28"/>
      <c r="C11" s="28"/>
      <c r="D11" s="45">
        <v>0.2</v>
      </c>
      <c r="E11" s="28"/>
      <c r="F11" s="28"/>
      <c r="G11" s="28"/>
      <c r="H11" s="28"/>
      <c r="I11" s="28"/>
      <c r="J11" s="37">
        <f t="shared" si="2"/>
        <v>0</v>
      </c>
      <c r="K11" s="47">
        <f t="shared" si="5"/>
        <v>0</v>
      </c>
    </row>
    <row r="12">
      <c r="A12" s="39">
        <v>3.0</v>
      </c>
      <c r="B12" s="31"/>
      <c r="C12" s="31"/>
      <c r="D12" s="40">
        <v>0.2</v>
      </c>
      <c r="E12" s="31"/>
      <c r="F12" s="31"/>
      <c r="G12" s="31"/>
      <c r="H12" s="31"/>
      <c r="I12" s="31"/>
      <c r="J12" s="42">
        <f t="shared" si="2"/>
        <v>0</v>
      </c>
      <c r="K12" s="43">
        <f t="shared" si="5"/>
        <v>0</v>
      </c>
    </row>
    <row r="13">
      <c r="A13" s="44">
        <v>4.0</v>
      </c>
      <c r="B13" s="28"/>
      <c r="C13" s="28"/>
      <c r="D13" s="45">
        <v>0.2</v>
      </c>
      <c r="E13" s="28"/>
      <c r="F13" s="28"/>
      <c r="G13" s="28"/>
      <c r="H13" s="28"/>
      <c r="I13" s="28"/>
      <c r="J13" s="37">
        <f t="shared" si="2"/>
        <v>0</v>
      </c>
      <c r="K13" s="47">
        <f t="shared" si="5"/>
        <v>0</v>
      </c>
    </row>
    <row r="14">
      <c r="A14" s="39">
        <v>5.0</v>
      </c>
      <c r="B14" s="31"/>
      <c r="C14" s="31"/>
      <c r="D14" s="40">
        <v>0.2</v>
      </c>
      <c r="E14" s="31"/>
      <c r="F14" s="31"/>
      <c r="G14" s="31"/>
      <c r="H14" s="31"/>
      <c r="I14" s="31"/>
      <c r="J14" s="42">
        <f t="shared" si="2"/>
        <v>0</v>
      </c>
      <c r="K14" s="43">
        <f t="shared" si="5"/>
        <v>0</v>
      </c>
    </row>
    <row r="15" ht="38.25" customHeight="1">
      <c r="A15" s="32" t="s">
        <v>36</v>
      </c>
      <c r="B15" s="34"/>
      <c r="C15" s="10"/>
      <c r="D15" s="36">
        <f t="shared" ref="D15:I15" si="6">SUM(D16:D20)</f>
        <v>1</v>
      </c>
      <c r="E15" s="37">
        <f t="shared" si="6"/>
        <v>0</v>
      </c>
      <c r="F15" s="37">
        <f t="shared" si="6"/>
        <v>0</v>
      </c>
      <c r="G15" s="37">
        <f t="shared" si="6"/>
        <v>0</v>
      </c>
      <c r="H15" s="37">
        <f t="shared" si="6"/>
        <v>0</v>
      </c>
      <c r="I15" s="37">
        <f t="shared" si="6"/>
        <v>0</v>
      </c>
      <c r="J15" s="38">
        <f t="shared" si="2"/>
        <v>0</v>
      </c>
      <c r="K15" s="36">
        <f>SUM(K16:K20)</f>
        <v>0</v>
      </c>
    </row>
    <row r="16">
      <c r="A16" s="39">
        <v>1.0</v>
      </c>
      <c r="B16" s="31"/>
      <c r="C16" s="31"/>
      <c r="D16" s="40">
        <v>0.2</v>
      </c>
      <c r="E16" s="31"/>
      <c r="F16" s="31"/>
      <c r="G16" s="31"/>
      <c r="H16" s="31"/>
      <c r="I16" s="31"/>
      <c r="J16" s="42">
        <f t="shared" si="2"/>
        <v>0</v>
      </c>
      <c r="K16" s="43">
        <f t="shared" ref="K16:K20" si="7">J16*D16</f>
        <v>0</v>
      </c>
    </row>
    <row r="17">
      <c r="A17" s="44">
        <v>2.0</v>
      </c>
      <c r="B17" s="28"/>
      <c r="C17" s="28"/>
      <c r="D17" s="45">
        <v>0.2</v>
      </c>
      <c r="E17" s="28"/>
      <c r="F17" s="28"/>
      <c r="G17" s="28"/>
      <c r="H17" s="28"/>
      <c r="I17" s="28"/>
      <c r="J17" s="37">
        <f t="shared" si="2"/>
        <v>0</v>
      </c>
      <c r="K17" s="47">
        <f t="shared" si="7"/>
        <v>0</v>
      </c>
    </row>
    <row r="18">
      <c r="A18" s="39">
        <v>3.0</v>
      </c>
      <c r="B18" s="31"/>
      <c r="C18" s="31"/>
      <c r="D18" s="40">
        <v>0.2</v>
      </c>
      <c r="E18" s="31"/>
      <c r="F18" s="31"/>
      <c r="G18" s="31"/>
      <c r="H18" s="31"/>
      <c r="I18" s="31"/>
      <c r="J18" s="42">
        <f t="shared" si="2"/>
        <v>0</v>
      </c>
      <c r="K18" s="43">
        <f t="shared" si="7"/>
        <v>0</v>
      </c>
    </row>
    <row r="19">
      <c r="A19" s="44">
        <v>4.0</v>
      </c>
      <c r="B19" s="28"/>
      <c r="C19" s="28"/>
      <c r="D19" s="45">
        <v>0.2</v>
      </c>
      <c r="E19" s="28"/>
      <c r="F19" s="28"/>
      <c r="G19" s="28"/>
      <c r="H19" s="28"/>
      <c r="I19" s="28"/>
      <c r="J19" s="37">
        <f t="shared" si="2"/>
        <v>0</v>
      </c>
      <c r="K19" s="47">
        <f t="shared" si="7"/>
        <v>0</v>
      </c>
    </row>
    <row r="20">
      <c r="A20" s="39">
        <v>5.0</v>
      </c>
      <c r="B20" s="31"/>
      <c r="C20" s="31"/>
      <c r="D20" s="40">
        <v>0.2</v>
      </c>
      <c r="E20" s="31"/>
      <c r="F20" s="31"/>
      <c r="G20" s="31"/>
      <c r="H20" s="31"/>
      <c r="I20" s="31"/>
      <c r="J20" s="42">
        <f t="shared" si="2"/>
        <v>0</v>
      </c>
      <c r="K20" s="43">
        <f t="shared" si="7"/>
        <v>0</v>
      </c>
    </row>
    <row r="21" ht="39.75" customHeight="1">
      <c r="A21" s="32" t="s">
        <v>37</v>
      </c>
      <c r="B21" s="34"/>
      <c r="C21" s="10"/>
      <c r="D21" s="36">
        <f t="shared" ref="D21:I21" si="8">SUM(D22:D26)</f>
        <v>1</v>
      </c>
      <c r="E21" s="37">
        <f t="shared" si="8"/>
        <v>0</v>
      </c>
      <c r="F21" s="37">
        <f t="shared" si="8"/>
        <v>0</v>
      </c>
      <c r="G21" s="37">
        <f t="shared" si="8"/>
        <v>0</v>
      </c>
      <c r="H21" s="37">
        <f t="shared" si="8"/>
        <v>0</v>
      </c>
      <c r="I21" s="37">
        <f t="shared" si="8"/>
        <v>0</v>
      </c>
      <c r="J21" s="38">
        <f t="shared" si="2"/>
        <v>0</v>
      </c>
      <c r="K21" s="36">
        <f>SUM(K22:K26)</f>
        <v>0</v>
      </c>
    </row>
    <row r="22">
      <c r="A22" s="39">
        <v>1.0</v>
      </c>
      <c r="B22" s="31"/>
      <c r="C22" s="31"/>
      <c r="D22" s="40">
        <v>0.2</v>
      </c>
      <c r="E22" s="31"/>
      <c r="F22" s="31"/>
      <c r="G22" s="31"/>
      <c r="H22" s="31"/>
      <c r="I22" s="31"/>
      <c r="J22" s="42">
        <f t="shared" si="2"/>
        <v>0</v>
      </c>
      <c r="K22" s="43">
        <f t="shared" ref="K22:K26" si="9">J22*D22</f>
        <v>0</v>
      </c>
    </row>
    <row r="23">
      <c r="A23" s="44">
        <v>2.0</v>
      </c>
      <c r="B23" s="28"/>
      <c r="C23" s="28"/>
      <c r="D23" s="45">
        <v>0.2</v>
      </c>
      <c r="E23" s="28"/>
      <c r="F23" s="28"/>
      <c r="G23" s="28"/>
      <c r="H23" s="28"/>
      <c r="I23" s="28"/>
      <c r="J23" s="37">
        <f t="shared" si="2"/>
        <v>0</v>
      </c>
      <c r="K23" s="47">
        <f t="shared" si="9"/>
        <v>0</v>
      </c>
    </row>
    <row r="24">
      <c r="A24" s="39">
        <v>3.0</v>
      </c>
      <c r="B24" s="31"/>
      <c r="C24" s="31"/>
      <c r="D24" s="40">
        <v>0.2</v>
      </c>
      <c r="E24" s="31"/>
      <c r="F24" s="31"/>
      <c r="G24" s="31"/>
      <c r="H24" s="31"/>
      <c r="I24" s="31"/>
      <c r="J24" s="42">
        <f t="shared" si="2"/>
        <v>0</v>
      </c>
      <c r="K24" s="43">
        <f t="shared" si="9"/>
        <v>0</v>
      </c>
    </row>
    <row r="25">
      <c r="A25" s="44">
        <v>4.0</v>
      </c>
      <c r="B25" s="28"/>
      <c r="C25" s="28"/>
      <c r="D25" s="45">
        <v>0.2</v>
      </c>
      <c r="E25" s="28"/>
      <c r="F25" s="28"/>
      <c r="G25" s="28"/>
      <c r="H25" s="28"/>
      <c r="I25" s="28"/>
      <c r="J25" s="37">
        <f t="shared" si="2"/>
        <v>0</v>
      </c>
      <c r="K25" s="47">
        <f t="shared" si="9"/>
        <v>0</v>
      </c>
    </row>
    <row r="26">
      <c r="A26" s="39">
        <v>5.0</v>
      </c>
      <c r="B26" s="31"/>
      <c r="C26" s="31"/>
      <c r="D26" s="40">
        <v>0.2</v>
      </c>
      <c r="E26" s="31"/>
      <c r="F26" s="31"/>
      <c r="G26" s="31"/>
      <c r="H26" s="31"/>
      <c r="I26" s="31"/>
      <c r="J26" s="42">
        <f t="shared" si="2"/>
        <v>0</v>
      </c>
      <c r="K26" s="43">
        <f t="shared" si="9"/>
        <v>0</v>
      </c>
    </row>
  </sheetData>
  <mergeCells count="9">
    <mergeCell ref="A15:C15"/>
    <mergeCell ref="A21:C21"/>
    <mergeCell ref="A1:C1"/>
    <mergeCell ref="D1:D2"/>
    <mergeCell ref="E1:J1"/>
    <mergeCell ref="K1:K2"/>
    <mergeCell ref="A2:B2"/>
    <mergeCell ref="A3:C3"/>
    <mergeCell ref="A9:C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87.25"/>
  </cols>
  <sheetData>
    <row r="1">
      <c r="A1" s="2" t="s">
        <v>1</v>
      </c>
      <c r="B1" s="4"/>
    </row>
    <row r="2">
      <c r="A2" s="7" t="s">
        <v>3</v>
      </c>
      <c r="B2" s="10"/>
    </row>
    <row r="3">
      <c r="A3" s="12">
        <v>1.0</v>
      </c>
      <c r="B3" s="14"/>
    </row>
    <row r="4">
      <c r="A4" s="16">
        <v>2.0</v>
      </c>
      <c r="B4" s="18"/>
    </row>
    <row r="5">
      <c r="A5" s="21">
        <v>3.0</v>
      </c>
      <c r="B5" s="14"/>
    </row>
    <row r="6">
      <c r="A6" s="7" t="s">
        <v>12</v>
      </c>
      <c r="B6" s="10"/>
    </row>
    <row r="7">
      <c r="A7" s="12">
        <v>1.0</v>
      </c>
      <c r="B7" s="14"/>
    </row>
    <row r="8">
      <c r="A8" s="16">
        <v>2.0</v>
      </c>
      <c r="B8" s="18"/>
    </row>
    <row r="9">
      <c r="A9" s="21">
        <v>3.0</v>
      </c>
      <c r="B9" s="14"/>
    </row>
    <row r="10">
      <c r="A10" s="7" t="s">
        <v>23</v>
      </c>
      <c r="B10" s="10"/>
    </row>
    <row r="11">
      <c r="A11" s="12">
        <v>1.0</v>
      </c>
      <c r="B11" s="14"/>
    </row>
  </sheetData>
  <mergeCells count="4">
    <mergeCell ref="A1:B1"/>
    <mergeCell ref="A2:B2"/>
    <mergeCell ref="A6:B6"/>
    <mergeCell ref="A10:B10"/>
  </mergeCells>
  <drawing r:id="rId1"/>
</worksheet>
</file>